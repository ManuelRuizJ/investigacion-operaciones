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<sst xmlns="http://schemas.openxmlformats.org/spreadsheetml/2006/main" count="30" uniqueCount="21">
  <si>
    <t xml:space="preserve">Inicio</t>
  </si>
  <si>
    <t xml:space="preserve">Si</t>
  </si>
  <si>
    <t xml:space="preserve">60/80</t>
  </si>
  <si>
    <t xml:space="preserve">P =</t>
  </si>
  <si>
    <t xml:space="preserve">60/195</t>
  </si>
  <si>
    <t xml:space="preserve">Justificacion:</t>
  </si>
  <si>
    <t xml:space="preserve">Con Frecuencia</t>
  </si>
  <si>
    <t xml:space="preserve">Cada probabilidad conjunta es la rama primaria por la condicional, por ejemplo P(Frecuente ∩ Si) = 0.4103 × 0.75 = 0.3077.
Las seis probabilidades conjuntas suman 1. 
Marginales de la tabla: P(Sí) = 90/195 = 0.4615 y P(No) = 105/195 = 0.5385. 
La probabilidad de ubicación conveniente baja conforme disminuye la frecuencia de visitas (75% → 42% → 9%), así que las variables están asociadas.</t>
  </si>
  <si>
    <t xml:space="preserve">No</t>
  </si>
  <si>
    <t xml:space="preserve">20/80</t>
  </si>
  <si>
    <t xml:space="preserve">20/195</t>
  </si>
  <si>
    <t xml:space="preserve">25/60</t>
  </si>
  <si>
    <t xml:space="preserve">25/195</t>
  </si>
  <si>
    <t xml:space="preserve">Ocasional</t>
  </si>
  <si>
    <t xml:space="preserve">35/60</t>
  </si>
  <si>
    <t xml:space="preserve">35/195</t>
  </si>
  <si>
    <t xml:space="preserve">5/55</t>
  </si>
  <si>
    <t xml:space="preserve">5/195</t>
  </si>
  <si>
    <t xml:space="preserve">Nunca</t>
  </si>
  <si>
    <t xml:space="preserve">50/55</t>
  </si>
  <si>
    <t xml:space="preserve">50/195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</si>
</sst>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L27"/>
  <sheetViews>
    <sheetView showFormulas="false" showGridLines="true" showRowColHeaders="true" showZeros="true" rightToLeft="false" tabSelected="true" showOutlineSymbols="true" defaultGridColor="true" view="normal" topLeftCell="B7" colorId="64" zoomScale="220" zoomScaleNormal="220" zoomScalePageLayoutView="100" workbookViewId="0">
      <selection pane="topLeft" activeCell="G11" activeCellId="0" sqref="G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34"/>
    <col collapsed="false" customWidth="true" hidden="false" outlineLevel="0" max="3" min="3" style="0" width="4.23"/>
    <col collapsed="false" customWidth="true" hidden="false" outlineLevel="0" max="4" min="4" style="0" width="5.56"/>
    <col collapsed="false" customWidth="true" hidden="false" outlineLevel="0" max="6" min="6" style="0" width="5.93"/>
    <col collapsed="false" customWidth="true" hidden="false" outlineLevel="0" max="9" min="9" style="0" width="9.35"/>
    <col collapsed="false" customWidth="true" hidden="false" outlineLevel="0" max="12" min="12" style="0" width="14.92"/>
  </cols>
  <sheetData>
    <row r="6" customFormat="false" ht="12.8" hidden="false" customHeight="false" outlineLevel="0" collapsed="false">
      <c r="A6" s="1" t="s">
        <v>0</v>
      </c>
    </row>
    <row r="14" customFormat="false" ht="12.8" hidden="false" customHeight="false" outlineLevel="0" collapsed="false">
      <c r="C14" s="2" t="s">
        <v>1</v>
      </c>
      <c r="D14" s="1" t="s">
        <v>2</v>
      </c>
      <c r="E14" s="0" t="n">
        <f aca="false">60/80</f>
        <v>0.75</v>
      </c>
      <c r="F14" s="3" t="s">
        <v>3</v>
      </c>
      <c r="G14" s="0" t="s">
        <v>4</v>
      </c>
      <c r="H14" s="4" t="n">
        <f aca="false">60/195</f>
        <v>0.307692307692308</v>
      </c>
      <c r="J14" s="0" t="s">
        <v>5</v>
      </c>
    </row>
    <row r="15" customFormat="false" ht="12.8" hidden="false" customHeight="true" outlineLevel="0" collapsed="false">
      <c r="B15" s="2" t="s">
        <v>6</v>
      </c>
      <c r="C15" s="5"/>
      <c r="J15" s="6" t="s">
        <v>7</v>
      </c>
      <c r="K15" s="6"/>
      <c r="L15" s="6"/>
    </row>
    <row r="16" customFormat="false" ht="12.8" hidden="false" customHeight="false" outlineLevel="0" collapsed="false">
      <c r="B16" s="5"/>
      <c r="C16" s="2" t="s">
        <v>8</v>
      </c>
      <c r="D16" s="1" t="s">
        <v>9</v>
      </c>
      <c r="E16" s="0" t="n">
        <f aca="false">20/80</f>
        <v>0.25</v>
      </c>
      <c r="F16" s="3" t="s">
        <v>3</v>
      </c>
      <c r="G16" s="0" t="s">
        <v>10</v>
      </c>
      <c r="H16" s="4" t="n">
        <f aca="false">20/195</f>
        <v>0.102564102564103</v>
      </c>
      <c r="J16" s="6"/>
      <c r="K16" s="6"/>
      <c r="L16" s="6"/>
    </row>
    <row r="17" customFormat="false" ht="12.8" hidden="false" customHeight="false" outlineLevel="0" collapsed="false">
      <c r="B17" s="5"/>
      <c r="J17" s="6"/>
      <c r="K17" s="6"/>
      <c r="L17" s="6"/>
    </row>
    <row r="18" customFormat="false" ht="12.8" hidden="false" customHeight="false" outlineLevel="0" collapsed="false">
      <c r="B18" s="5"/>
      <c r="C18" s="2" t="s">
        <v>1</v>
      </c>
      <c r="D18" s="1" t="s">
        <v>11</v>
      </c>
      <c r="E18" s="0" t="n">
        <f aca="false">25/60</f>
        <v>0.416666666666667</v>
      </c>
      <c r="F18" s="3" t="s">
        <v>3</v>
      </c>
      <c r="G18" s="0" t="s">
        <v>12</v>
      </c>
      <c r="H18" s="4" t="n">
        <f aca="false">25/195</f>
        <v>0.128205128205128</v>
      </c>
      <c r="J18" s="6"/>
      <c r="K18" s="6"/>
      <c r="L18" s="6"/>
    </row>
    <row r="19" customFormat="false" ht="12.8" hidden="false" customHeight="false" outlineLevel="0" collapsed="false">
      <c r="B19" s="2" t="s">
        <v>13</v>
      </c>
      <c r="C19" s="5"/>
      <c r="J19" s="6"/>
      <c r="K19" s="6"/>
      <c r="L19" s="6"/>
    </row>
    <row r="20" customFormat="false" ht="12.8" hidden="false" customHeight="false" outlineLevel="0" collapsed="false">
      <c r="B20" s="5"/>
      <c r="C20" s="2" t="s">
        <v>8</v>
      </c>
      <c r="D20" s="1" t="s">
        <v>14</v>
      </c>
      <c r="E20" s="0" t="n">
        <f aca="false">35/60</f>
        <v>0.583333333333333</v>
      </c>
      <c r="F20" s="3" t="s">
        <v>3</v>
      </c>
      <c r="G20" s="0" t="s">
        <v>15</v>
      </c>
      <c r="H20" s="4" t="n">
        <f aca="false">35/195</f>
        <v>0.17948717948718</v>
      </c>
      <c r="J20" s="6"/>
      <c r="K20" s="6"/>
      <c r="L20" s="6"/>
    </row>
    <row r="21" customFormat="false" ht="12.8" hidden="false" customHeight="false" outlineLevel="0" collapsed="false">
      <c r="B21" s="5"/>
      <c r="J21" s="6"/>
      <c r="K21" s="6"/>
      <c r="L21" s="6"/>
    </row>
    <row r="22" customFormat="false" ht="12.8" hidden="false" customHeight="false" outlineLevel="0" collapsed="false">
      <c r="B22" s="5"/>
      <c r="C22" s="2" t="s">
        <v>1</v>
      </c>
      <c r="D22" s="1" t="s">
        <v>16</v>
      </c>
      <c r="E22" s="0" t="n">
        <f aca="false">5/55</f>
        <v>0.0909090909090909</v>
      </c>
      <c r="F22" s="3" t="s">
        <v>3</v>
      </c>
      <c r="G22" s="0" t="s">
        <v>17</v>
      </c>
      <c r="H22" s="4" t="n">
        <f aca="false">5/195</f>
        <v>0.0256410256410256</v>
      </c>
      <c r="J22" s="6"/>
      <c r="K22" s="6"/>
      <c r="L22" s="6"/>
    </row>
    <row r="23" customFormat="false" ht="12.8" hidden="false" customHeight="false" outlineLevel="0" collapsed="false">
      <c r="B23" s="2" t="s">
        <v>18</v>
      </c>
      <c r="C23" s="5"/>
      <c r="J23" s="6"/>
      <c r="K23" s="6"/>
      <c r="L23" s="6"/>
    </row>
    <row r="24" customFormat="false" ht="12.8" hidden="false" customHeight="false" outlineLevel="0" collapsed="false">
      <c r="C24" s="2" t="s">
        <v>8</v>
      </c>
      <c r="D24" s="1" t="s">
        <v>19</v>
      </c>
      <c r="E24" s="0" t="n">
        <f aca="false">50/55</f>
        <v>0.909090909090909</v>
      </c>
      <c r="F24" s="3" t="s">
        <v>3</v>
      </c>
      <c r="G24" s="0" t="s">
        <v>20</v>
      </c>
      <c r="H24" s="4" t="n">
        <f aca="false">50/195</f>
        <v>0.256410256410256</v>
      </c>
      <c r="J24" s="6"/>
      <c r="K24" s="6"/>
      <c r="L24" s="6"/>
    </row>
    <row r="25" customFormat="false" ht="12.8" hidden="false" customHeight="false" outlineLevel="0" collapsed="false">
      <c r="J25" s="6"/>
      <c r="K25" s="6"/>
      <c r="L25" s="6"/>
    </row>
    <row r="26" customFormat="false" ht="12.8" hidden="false" customHeight="false" outlineLevel="0" collapsed="false">
      <c r="H26" s="0" t="n">
        <f aca="false">SUM(H14:H24)</f>
        <v>1</v>
      </c>
      <c r="J26" s="6"/>
      <c r="K26" s="6"/>
      <c r="L26" s="6"/>
    </row>
    <row r="27" customFormat="false" ht="12.8" hidden="false" customHeight="false" outlineLevel="0" collapsed="false">
      <c r="J27" s="6"/>
      <c r="K27" s="6"/>
      <c r="L27" s="6"/>
    </row>
  </sheetData>
  <mergeCells count="1">
    <mergeCell ref="J15:L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2026-10-20T07:14:14Z</dcterms:created>
  <dc:creator/>
  <dc:description/>
  <dc:language>es-MX</dc:language>
  <cp:lastModifiedBy/>
  <dcterms:modified xsi:type="dcterms:W3CDTF">2026-10-20T09:36:48Z</dcterms:modified>
  <cp:revision>2</cp:revision>
  <dc:subject/>
  <dc:title/>
</cp:coreProperties>
</file>