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1" sheetId="1" state="visible" r:id="rId3"/>
    <sheet name="2" sheetId="2" state="visible" r:id="rId4"/>
    <sheet name="3" sheetId="3" state="visible" r:id="rId5"/>
    <sheet name="4" sheetId="4" state="visible" r:id="rId6"/>
    <sheet name="5" sheetId="5" state="visible" r:id="rId7"/>
  </sheets>
  <definedNames>
    <definedName function="false" hidden="true" localSheetId="0" name="solver_adj" vbProcedure="false">'1'!$B$14:$D$14</definedName>
    <definedName function="false" hidden="true" localSheetId="0" name="solver_asr" vbProcedure="false">0</definedName>
    <definedName function="false" hidden="true" localSheetId="0" name="solver_bbd" vbProcedure="false">1</definedName>
    <definedName function="false" hidden="true" localSheetId="0" name="solver_ccoeff" vbProcedure="false">0</definedName>
    <definedName function="false" hidden="true" localSheetId="0" name="solver_cog" vbProcedure="false">0</definedName>
    <definedName function="false" hidden="true" localSheetId="0" name="solver_crpb" vbProcedure="false">0</definedName>
    <definedName function="false" hidden="true" localSheetId="0" name="solver_eng" vbProcedure="false">2</definedName>
    <definedName function="false" hidden="true" localSheetId="0" name="solver_eps" vbProcedure="false">0</definedName>
    <definedName function="false" hidden="true" localSheetId="0" name="solver_int" vbProcedure="false">0</definedName>
    <definedName function="false" hidden="true" localSheetId="0" name="solver_lhs1" vbProcedure="false">'1'!$E$10:$E$12</definedName>
    <definedName function="false" hidden="true" localSheetId="0" name="solver_lhs2" vbProcedure="false">'1'!$B$14:$D$14</definedName>
    <definedName function="false" hidden="true" localSheetId="0" name="solver_lo_eng" vbProcedure="false">"com.sun.star.comp.Calc.LpsolveSolver"</definedName>
    <definedName function="false" hidden="true" localSheetId="0" name="solver_mtpb" vbProcedure="false">0</definedName>
    <definedName function="false" hidden="true" localSheetId="0" name="solver_neg" vbProcedure="false">2</definedName>
    <definedName function="false" hidden="true" localSheetId="0" name="solver_num" vbProcedure="false">2</definedName>
    <definedName function="false" hidden="true" localSheetId="0" name="solver_opt" vbProcedure="false">'1'!$E$13</definedName>
    <definedName function="false" hidden="true" localSheetId="0" name="solver_rel1" vbProcedure="false">1</definedName>
    <definedName function="false" hidden="true" localSheetId="0" name="solver_rel2" vbProcedure="false">3</definedName>
    <definedName function="false" hidden="true" localSheetId="0" name="solver_rhs1" vbProcedure="false">'1'!$G$10:$G$12</definedName>
    <definedName function="false" hidden="true" localSheetId="0" name="solver_rhs2" vbProcedure="false">0</definedName>
    <definedName function="false" hidden="true" localSheetId="0" name="solver_smax" vbProcedure="false">0</definedName>
    <definedName function="false" hidden="true" localSheetId="0" name="solver_smin" vbProcedure="false">0</definedName>
    <definedName function="false" hidden="true" localSheetId="0" name="solver_soc" vbProcedure="false">0</definedName>
    <definedName function="false" hidden="true" localSheetId="0" name="solver_stol" vbProcedure="false">0</definedName>
    <definedName function="false" hidden="true" localSheetId="0" name="solver_tim" vbProcedure="false">60000</definedName>
    <definedName function="false" hidden="true" localSheetId="0" name="solver_typ" vbProcedure="false">1</definedName>
    <definedName function="false" hidden="true" localSheetId="0" name="solver_vrt" vbProcedure="false">0</definedName>
    <definedName function="false" hidden="true" localSheetId="1" name="solver_adj" vbProcedure="false">'2'!$B$12:$D$12</definedName>
    <definedName function="false" hidden="true" localSheetId="1" name="solver_asr" vbProcedure="false">0</definedName>
    <definedName function="false" hidden="true" localSheetId="1" name="solver_bbd" vbProcedure="false">1</definedName>
    <definedName function="false" hidden="true" localSheetId="1" name="solver_ccoeff" vbProcedure="false">0</definedName>
    <definedName function="false" hidden="true" localSheetId="1" name="solver_cog" vbProcedure="false">0</definedName>
    <definedName function="false" hidden="true" localSheetId="1" name="solver_crpb" vbProcedure="false">0</definedName>
    <definedName function="false" hidden="true" localSheetId="1" name="solver_eng" vbProcedure="false">2</definedName>
    <definedName function="false" hidden="true" localSheetId="1" name="solver_eps" vbProcedure="false">0</definedName>
    <definedName function="false" hidden="true" localSheetId="1" name="solver_int" vbProcedure="false">0</definedName>
    <definedName function="false" hidden="true" localSheetId="1" name="solver_lhs1" vbProcedure="false">'2'!$E$9:$E$10</definedName>
    <definedName function="false" hidden="true" localSheetId="1" name="solver_lhs2" vbProcedure="false">'2'!$B$12:$D$12</definedName>
    <definedName function="false" hidden="true" localSheetId="1" name="solver_lo_eng" vbProcedure="false">"com.sun.star.comp.Calc.LpsolveSolver"</definedName>
    <definedName function="false" hidden="true" localSheetId="1" name="solver_mtpb" vbProcedure="false">0</definedName>
    <definedName function="false" hidden="true" localSheetId="1" name="solver_neg" vbProcedure="false">2</definedName>
    <definedName function="false" hidden="true" localSheetId="1" name="solver_num" vbProcedure="false">2</definedName>
    <definedName function="false" hidden="true" localSheetId="1" name="solver_opt" vbProcedure="false">'2'!$E$11</definedName>
    <definedName function="false" hidden="true" localSheetId="1" name="solver_rel1" vbProcedure="false">1</definedName>
    <definedName function="false" hidden="true" localSheetId="1" name="solver_rel2" vbProcedure="false">5</definedName>
    <definedName function="false" hidden="true" localSheetId="1" name="solver_rhs1" vbProcedure="false">'2'!$G$9:$G$10</definedName>
    <definedName function="false" hidden="true" localSheetId="1" name="solver_smax" vbProcedure="false">0</definedName>
    <definedName function="false" hidden="true" localSheetId="1" name="solver_smin" vbProcedure="false">0</definedName>
    <definedName function="false" hidden="true" localSheetId="1" name="solver_soc" vbProcedure="false">0</definedName>
    <definedName function="false" hidden="true" localSheetId="1" name="solver_stol" vbProcedure="false">0</definedName>
    <definedName function="false" hidden="true" localSheetId="1" name="solver_tim" vbProcedure="false">60000</definedName>
    <definedName function="false" hidden="true" localSheetId="1" name="solver_typ" vbProcedure="false">1</definedName>
    <definedName function="false" hidden="true" localSheetId="1" name="solver_vrt" vbProcedure="false">0</definedName>
    <definedName function="false" hidden="true" localSheetId="2" name="solver_adj" vbProcedure="false">'3'!$B$14:$C$14</definedName>
    <definedName function="false" hidden="true" localSheetId="2" name="solver_asr" vbProcedure="false">0</definedName>
    <definedName function="false" hidden="true" localSheetId="2" name="solver_bbd" vbProcedure="false">1</definedName>
    <definedName function="false" hidden="true" localSheetId="2" name="solver_ccoeff" vbProcedure="false">0</definedName>
    <definedName function="false" hidden="true" localSheetId="2" name="solver_cog" vbProcedure="false">0</definedName>
    <definedName function="false" hidden="true" localSheetId="2" name="solver_crpb" vbProcedure="false">0</definedName>
    <definedName function="false" hidden="true" localSheetId="2" name="solver_eng" vbProcedure="false">2</definedName>
    <definedName function="false" hidden="true" localSheetId="2" name="solver_eps" vbProcedure="false">0</definedName>
    <definedName function="false" hidden="true" localSheetId="2" name="solver_int" vbProcedure="false">0</definedName>
    <definedName function="false" hidden="true" localSheetId="2" name="solver_lhs1" vbProcedure="false">'3'!$D$10</definedName>
    <definedName function="false" hidden="true" localSheetId="2" name="solver_lhs2" vbProcedure="false">'3'!$D$11</definedName>
    <definedName function="false" hidden="true" localSheetId="2" name="solver_lhs3" vbProcedure="false">'3'!$D$12</definedName>
    <definedName function="false" hidden="true" localSheetId="2" name="solver_lhs4" vbProcedure="false">'3'!$B$14:$C$14</definedName>
    <definedName function="false" hidden="true" localSheetId="2" name="solver_lo_eng" vbProcedure="false">"com.sun.star.comp.Calc.LpsolveSolver"</definedName>
    <definedName function="false" hidden="true" localSheetId="2" name="solver_mtpb" vbProcedure="false">0</definedName>
    <definedName function="false" hidden="true" localSheetId="2" name="solver_neg" vbProcedure="false">2</definedName>
    <definedName function="false" hidden="true" localSheetId="2" name="solver_num" vbProcedure="false">4</definedName>
    <definedName function="false" hidden="true" localSheetId="2" name="solver_opt" vbProcedure="false">'3'!$D$13</definedName>
    <definedName function="false" hidden="true" localSheetId="2" name="solver_rel1" vbProcedure="false">1</definedName>
    <definedName function="false" hidden="true" localSheetId="2" name="solver_rel2" vbProcedure="false">3</definedName>
    <definedName function="false" hidden="true" localSheetId="2" name="solver_rel3" vbProcedure="false">1</definedName>
    <definedName function="false" hidden="true" localSheetId="2" name="solver_rel4" vbProcedure="false">4</definedName>
    <definedName function="false" hidden="true" localSheetId="2" name="solver_rhs1" vbProcedure="false">'3'!$F$10</definedName>
    <definedName function="false" hidden="true" localSheetId="2" name="solver_rhs2" vbProcedure="false">'3'!$F$11</definedName>
    <definedName function="false" hidden="true" localSheetId="2" name="solver_rhs3" vbProcedure="false">'3'!$F$12</definedName>
    <definedName function="false" hidden="true" localSheetId="2" name="solver_smax" vbProcedure="false">0</definedName>
    <definedName function="false" hidden="true" localSheetId="2" name="solver_smin" vbProcedure="false">0</definedName>
    <definedName function="false" hidden="true" localSheetId="2" name="solver_soc" vbProcedure="false">0</definedName>
    <definedName function="false" hidden="true" localSheetId="2" name="solver_stol" vbProcedure="false">0</definedName>
    <definedName function="false" hidden="true" localSheetId="2" name="solver_tim" vbProcedure="false">60000</definedName>
    <definedName function="false" hidden="true" localSheetId="2" name="solver_typ" vbProcedure="false">1</definedName>
    <definedName function="false" hidden="true" localSheetId="2" name="solver_vrt" vbProcedure="false">0</definedName>
    <definedName function="false" hidden="true" localSheetId="3" name="solver_adj" vbProcedure="false">'4'!$B$14:$C$14</definedName>
    <definedName function="false" hidden="true" localSheetId="3" name="solver_asr" vbProcedure="false">0</definedName>
    <definedName function="false" hidden="true" localSheetId="3" name="solver_bbd" vbProcedure="false">1</definedName>
    <definedName function="false" hidden="true" localSheetId="3" name="solver_ccoeff" vbProcedure="false">0</definedName>
    <definedName function="false" hidden="true" localSheetId="3" name="solver_cog" vbProcedure="false">0</definedName>
    <definedName function="false" hidden="true" localSheetId="3" name="solver_crpb" vbProcedure="false">0</definedName>
    <definedName function="false" hidden="true" localSheetId="3" name="solver_eng" vbProcedure="false">2</definedName>
    <definedName function="false" hidden="true" localSheetId="3" name="solver_eps" vbProcedure="false">0</definedName>
    <definedName function="false" hidden="true" localSheetId="3" name="solver_int" vbProcedure="false">0</definedName>
    <definedName function="false" hidden="true" localSheetId="3" name="solver_lhs1" vbProcedure="false">'4'!$D$10:$D$12</definedName>
    <definedName function="false" hidden="true" localSheetId="3" name="solver_lo_eng" vbProcedure="false">"com.sun.star.comp.Calc.LpsolveSolver"</definedName>
    <definedName function="false" hidden="true" localSheetId="3" name="solver_mtpb" vbProcedure="false">0</definedName>
    <definedName function="false" hidden="true" localSheetId="3" name="solver_neg" vbProcedure="false">2</definedName>
    <definedName function="false" hidden="true" localSheetId="3" name="solver_num" vbProcedure="false">2</definedName>
    <definedName function="false" hidden="true" localSheetId="3" name="solver_opt" vbProcedure="false">'4'!$D$13</definedName>
    <definedName function="false" hidden="true" localSheetId="3" name="solver_rel1" vbProcedure="false">3</definedName>
    <definedName function="false" hidden="true" localSheetId="3" name="solver_rel2" vbProcedure="false">3</definedName>
    <definedName function="false" hidden="true" localSheetId="3" name="solver_rhs1" vbProcedure="false">'4'!$F$10:$F$12</definedName>
    <definedName function="false" hidden="true" localSheetId="3" name="solver_smax" vbProcedure="false">0</definedName>
    <definedName function="false" hidden="true" localSheetId="3" name="solver_smin" vbProcedure="false">0</definedName>
    <definedName function="false" hidden="true" localSheetId="3" name="solver_soc" vbProcedure="false">0</definedName>
    <definedName function="false" hidden="true" localSheetId="3" name="solver_stol" vbProcedure="false">0</definedName>
    <definedName function="false" hidden="true" localSheetId="3" name="solver_tim" vbProcedure="false">60000</definedName>
    <definedName function="false" hidden="true" localSheetId="3" name="solver_typ" vbProcedure="false">2</definedName>
    <definedName function="false" hidden="true" localSheetId="3" name="solver_vrt" vbProcedure="false">0</definedName>
    <definedName function="false" hidden="true" localSheetId="4" name="solver_adj" vbProcedure="false">'5'!$B$14:$C$14</definedName>
    <definedName function="false" hidden="true" localSheetId="4" name="solver_asr" vbProcedure="false">0</definedName>
    <definedName function="false" hidden="true" localSheetId="4" name="solver_bbd" vbProcedure="false">1</definedName>
    <definedName function="false" hidden="true" localSheetId="4" name="solver_ccoeff" vbProcedure="false">0</definedName>
    <definedName function="false" hidden="true" localSheetId="4" name="solver_cog" vbProcedure="false">0</definedName>
    <definedName function="false" hidden="true" localSheetId="4" name="solver_crpb" vbProcedure="false">0</definedName>
    <definedName function="false" hidden="true" localSheetId="4" name="solver_eng" vbProcedure="false">2</definedName>
    <definedName function="false" hidden="true" localSheetId="4" name="solver_eps" vbProcedure="false">0</definedName>
    <definedName function="false" hidden="true" localSheetId="4" name="solver_int" vbProcedure="false">0</definedName>
    <definedName function="false" hidden="true" localSheetId="4" name="solver_lhs1" vbProcedure="false">'5'!$D$10:$D$12</definedName>
    <definedName function="false" hidden="true" localSheetId="4" name="solver_lhs2" vbProcedure="false">'5'!$B$14:$C$14</definedName>
    <definedName function="false" hidden="true" localSheetId="4" name="solver_lo_eng" vbProcedure="false">"com.sun.star.comp.Calc.LpsolveSolver"</definedName>
    <definedName function="false" hidden="true" localSheetId="4" name="solver_mtpb" vbProcedure="false">0</definedName>
    <definedName function="false" hidden="true" localSheetId="4" name="solver_neg" vbProcedure="false">2</definedName>
    <definedName function="false" hidden="true" localSheetId="4" name="solver_num" vbProcedure="false">2</definedName>
    <definedName function="false" hidden="true" localSheetId="4" name="solver_opt" vbProcedure="false">'5'!$D$13</definedName>
    <definedName function="false" hidden="true" localSheetId="4" name="solver_rel1" vbProcedure="false">1</definedName>
    <definedName function="false" hidden="true" localSheetId="4" name="solver_rel2" vbProcedure="false">4</definedName>
    <definedName function="false" hidden="true" localSheetId="4" name="solver_rhs1" vbProcedure="false">'5'!$F$10:$F$12</definedName>
    <definedName function="false" hidden="true" localSheetId="4" name="solver_smax" vbProcedure="false">0</definedName>
    <definedName function="false" hidden="true" localSheetId="4" name="solver_smin" vbProcedure="false">0</definedName>
    <definedName function="false" hidden="true" localSheetId="4" name="solver_soc" vbProcedure="false">0</definedName>
    <definedName function="false" hidden="true" localSheetId="4" name="solver_stol" vbProcedure="false">0</definedName>
    <definedName function="false" hidden="true" localSheetId="4" name="solver_tim" vbProcedure="false">60000</definedName>
    <definedName function="false" hidden="true" localSheetId="4" name="solver_typ" vbProcedure="false">1</definedName>
    <definedName function="false" hidden="true" localSheetId="4" name="solver_vrt" vbProcedure="false">0</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<sst xmlns="http://schemas.openxmlformats.org/spreadsheetml/2006/main" count="136" uniqueCount="70">
  <si>
    <t xml:space="preserve">1.- Una compañía que fabrica muebles de oficina, está presentando una nueva línea de escritorios ejecutivos hechos de madera de primera calidad. En un principio se introducirán al mercado tres modelos diferentes A, B y C. Cada escritorio del modelo A requiere 1 hora y cuarto de fabricación, 1 hr de montaje y 1 hr de acabado, cada escritorio B requiere 1 hr y media de fabricación, 1 hr de montaje y 1 hr de acabado y cada escritorio modelo C requiere 1 hr y media de fabricación, tres cuartos de hr de montaje y media hora de acabado. Las respectivas ganancias por cada modelo A, B y Ces de $26, $28 y $24. El tiempo total disponible en los departamentos de fabricación, montaje y acabado en el primer mes de producción es de 310 hrs, 205 hrs y 190 hrs respectivamente. La compañía quiere saber cuántos escritorios de cada modelo debe fabricar para maximizar las ganancias.</t>
  </si>
  <si>
    <t xml:space="preserve">Maximizar: </t>
  </si>
  <si>
    <t xml:space="preserve">Z = 26x1 + 28x2 + 24x3</t>
  </si>
  <si>
    <t xml:space="preserve">S.a:</t>
  </si>
  <si>
    <t xml:space="preserve">1.25x1 + 1.5x2 + 1.5x3 &lt;= 310</t>
  </si>
  <si>
    <t xml:space="preserve">1x1 + 1x2 + 0.75x3 &lt;=205</t>
  </si>
  <si>
    <t xml:space="preserve">1x1 + 1x2 + 0.5x3 &lt;= 190</t>
  </si>
  <si>
    <t xml:space="preserve">x1, x2, x3 &gt;= 0</t>
  </si>
  <si>
    <t xml:space="preserve">x1</t>
  </si>
  <si>
    <t xml:space="preserve">x2</t>
  </si>
  <si>
    <t xml:space="preserve">x3</t>
  </si>
  <si>
    <t xml:space="preserve">Rest 1</t>
  </si>
  <si>
    <t xml:space="preserve">&lt;=</t>
  </si>
  <si>
    <t xml:space="preserve">Rest 2</t>
  </si>
  <si>
    <t xml:space="preserve">Rest 3</t>
  </si>
  <si>
    <t xml:space="preserve">F.O.</t>
  </si>
  <si>
    <t xml:space="preserve">Celdas camb</t>
  </si>
  <si>
    <t xml:space="preserve">¿Cuántos escritorios de cada modelo debe fabricar para maximizar las ganancias?</t>
  </si>
  <si>
    <t xml:space="preserve">Solución:</t>
  </si>
  <si>
    <t xml:space="preserve">Z = </t>
  </si>
  <si>
    <t xml:space="preserve">Ganancia Máxima</t>
  </si>
  <si>
    <t xml:space="preserve">x1 = </t>
  </si>
  <si>
    <t xml:space="preserve">Escritorio Modelo A</t>
  </si>
  <si>
    <t xml:space="preserve">x2 = </t>
  </si>
  <si>
    <t xml:space="preserve">Escritorio Modelo B</t>
  </si>
  <si>
    <t xml:space="preserve">x3 = </t>
  </si>
  <si>
    <t xml:space="preserve">Escritorio Modelo C</t>
  </si>
  <si>
    <t xml:space="preserve">Una constructora estudia tres posibles proyectos: Hacer un pequeño complejo de departamentos, un centro comercial y un mini almacén. Cada uno de ellos requiere de diferentes financiamientos a lo largo de los siguientes dos años y también varía el valor presente neto de las inversiones. En la siguiente tabla se proporciona la información para las inversiones en miles y el valor presente neto de cada uno de ellos.
INVERSIÓN 
                              VPN                        Año 1             Año 2 
Departamentos       18                            40                    30 
Centro comercial    15                           30                    20 
Mini almacén         14                           20                     20 
La compañía dispone de $80,000 para invertir en el año 1 y $50,000 en el año 2 
a) Determine el valor presente neto que maximice la inversión. 
b) ¿Cuál de los tres proyectos se deben?</t>
  </si>
  <si>
    <t xml:space="preserve">Z = 18x1 + 15x2 + 14x3</t>
  </si>
  <si>
    <t xml:space="preserve">40x1 + 30x2 + 20x3 &lt;= 80</t>
  </si>
  <si>
    <t xml:space="preserve">30x1 + 20x2 + 20x3 &lt;=50</t>
  </si>
  <si>
    <t xml:space="preserve">X1 , x2, x3, = binarios</t>
  </si>
  <si>
    <t xml:space="preserve">a) Determine el valor presente neto que maximice la inversión. 
b) ¿Cuál de los tres proyectos se deben elegir?</t>
  </si>
  <si>
    <t xml:space="preserve">VPN Máximo</t>
  </si>
  <si>
    <t xml:space="preserve">Complejo de Departamentos</t>
  </si>
  <si>
    <t xml:space="preserve">Centro Comercial </t>
  </si>
  <si>
    <t xml:space="preserve">Mini Almacén </t>
  </si>
  <si>
    <t xml:space="preserve">3.- María es la propietaria de una compañía que ofrece servicios de planeación de bodas en la ciudad de Puebla. Ella utiliza publicidad en radio para promover su empresa, que son anuncios que se difunden durante las mayores horas de audiencia y los que se transmiten a otras horas. Cada anuncio en las horas de mayor audiencia cuesta $390 y llegan a 8,200 personas, mientras que los anuncios que se trasmiten en las horas de menor audiencia tienen un costo de $240 cada uno y llegan a 5,100 personas. 
María tiene de presupuesto $1,800 semanales para publicidad. Basada en comentarios de sus clientes, desea tener por lo menos dos anuncios en las horas de mayor audiencia y no más de 6 en las horas tranquilas. 
¿Cuántos anuncios de cada tipo debe hacer para maximizar la audiencia y cuál es el costo?</t>
  </si>
  <si>
    <t xml:space="preserve">Z = 8,200x1 + 5,100x2</t>
  </si>
  <si>
    <t xml:space="preserve">390x1 + 240x2 &lt;= 1,800</t>
  </si>
  <si>
    <t xml:space="preserve">X1 &gt;= 2</t>
  </si>
  <si>
    <t xml:space="preserve">X2 &lt;= 6</t>
  </si>
  <si>
    <t xml:space="preserve">x1, x2 &gt;= 0, enteros</t>
  </si>
  <si>
    <t xml:space="preserve">&gt;=</t>
  </si>
  <si>
    <t xml:space="preserve">¿Cuántos anuncios de cada tipo debe hacer para maximizar la audiencia y cuál es el costo?</t>
  </si>
  <si>
    <t xml:space="preserve">Personas</t>
  </si>
  <si>
    <t xml:space="preserve">Anuncios Mayor Audiencia</t>
  </si>
  <si>
    <t xml:space="preserve">Anuncios Menor Audiencia</t>
  </si>
  <si>
    <t xml:space="preserve">Costo M. Aud.</t>
  </si>
  <si>
    <t xml:space="preserve">Costo Total</t>
  </si>
  <si>
    <t xml:space="preserve">4.- Una nutrióloga de un hospital debe preparar una dieta especial para ciertos pacientes. Ella ha decidido que las comidas deben contener un mínimo de 400 mg de calcio, 10 mg de hierro y 40 mg de vitamina C. También ha decidido que las comidas tienen que prepararse con los alimentos A y B. Cada onza del alimento A contiene 30 mg de calcio, 1 mg de hierro, 2 mg de vitamina C y 2 mg de colesterol. Cada onza del alimento B contiene 25 mg de calcio, 0.5 mg de hierro, 5 mg de vitamina C y 5 mg de colesterol. Indique cuantas onzas de cada tipo de alimento se deben utilizar en una comida de modo que se minimice el contenido de colesterol y se cubran los requerimientos mínimos de calcio, hierro y vitamina C.</t>
  </si>
  <si>
    <t xml:space="preserve">Minimizar: </t>
  </si>
  <si>
    <t xml:space="preserve">Z = 2x1 + 5x2</t>
  </si>
  <si>
    <t xml:space="preserve">30x1 + 25x2 &gt;= 400</t>
  </si>
  <si>
    <t xml:space="preserve">1x1 + 0.5x2 &gt;= 10</t>
  </si>
  <si>
    <t xml:space="preserve">2x1 + 5x2 &gt;= 40 </t>
  </si>
  <si>
    <t xml:space="preserve">x1, x2 &gt;= 0</t>
  </si>
  <si>
    <t xml:space="preserve">Indique cuantas onzas de cada tipo de alimento se deben utilizar para minimizar el colesterol y se cubran los requerimientos mínimos.</t>
  </si>
  <si>
    <t xml:space="preserve">Costo mínimo de colesterol</t>
  </si>
  <si>
    <t xml:space="preserve">Oz del Alimento 1</t>
  </si>
  <si>
    <t xml:space="preserve">Oz del Alimento 2</t>
  </si>
  <si>
    <t xml:space="preserve">5. Una compañía vende dos carteles de tamaños diferentes: Uno grande y el otro pequeño. La utilidad que obtiene por la venta del cartel grande es de $3 y del cartel pequeño es de $2. La compañía puede vender hasta tres carteles grandes, se pueden vender hasta cinco carteles pequeños. Se utiliza hasta 10 horas en los carteles durante la semana, además cada cartel grande requiere dos horas de trabajo y el pequeño una hora. 
¿Cuántos carteles debe hacer para maximizar la utilidad? ¿Y cuál es la utilidad?</t>
  </si>
  <si>
    <t xml:space="preserve">Z = 3x1 + 2x2</t>
  </si>
  <si>
    <t xml:space="preserve">2x1 + 1x2 &lt;= 10</t>
  </si>
  <si>
    <t xml:space="preserve">X1 &lt;= 3</t>
  </si>
  <si>
    <t xml:space="preserve">x2 &lt;= 5 </t>
  </si>
  <si>
    <t xml:space="preserve">¿Cuántos carteles debe hacer para maximizar la utilidad? ¿Y cuál es la utilidad?</t>
  </si>
  <si>
    <t xml:space="preserve">Utilidad Máxima</t>
  </si>
  <si>
    <t xml:space="preserve">Carteles Grandes</t>
  </si>
  <si>
    <t xml:space="preserve">Carteles Pequeños</t>
  </si>
</sst>
</file>

<file path=xl/styles.xml><?xml version="1.0" encoding="utf-8"?>
<styleSheet xmlns="http://schemas.openxmlformats.org/spreadsheetml/2006/main">
  <numFmts count="1">
    <numFmt numFmtId="164" formatCode="General"/>
  </numFmts>
  <fonts count="8">
    <font>
      <sz val="10"/>
      <name val="Arial"/>
      <family val="2"/>
      <charset val="1"/>
    </font>
    <font>
      <sz val="10"/>
      <name val="Arial"/>
      <family val="0"/>
    </font>
    <font>
      <sz val="10"/>
      <name val="Arial"/>
      <family val="0"/>
    </font>
    <font>
      <sz val="10"/>
      <name val="Arial"/>
      <family val="0"/>
    </font>
    <font>
      <sz val="10"/>
      <name val="Times New Roman"/>
      <family val="1"/>
      <charset val="1"/>
    </font>
    <font>
      <sz val="11"/>
      <color rgb="FF000000"/>
      <name val="Calibri"/>
      <family val="0"/>
      <charset val="1"/>
    </font>
    <font>
      <b val="true"/>
      <sz val="11"/>
      <color rgb="FFBF0041"/>
      <name val="Calibri"/>
      <family val="0"/>
      <charset val="1"/>
    </font>
    <font>
      <u val="single"/>
      <sz val="10"/>
      <name val="Arial"/>
      <family val="2"/>
      <charset val="1"/>
    </font>
  </fonts>
  <fills count="9">
    <fill>
      <patternFill patternType="none"/>
    </fill>
    <fill>
      <patternFill patternType="gray125"/>
    </fill>
    <fill>
      <patternFill patternType="solid">
        <fgColor theme="2" tint="-0.25"/>
        <bgColor rgb="FFB4C7DC"/>
      </patternFill>
    </fill>
    <fill>
      <patternFill patternType="solid">
        <fgColor rgb="FFB4C7DC"/>
        <bgColor rgb="FFBFBFBF"/>
      </patternFill>
    </fill>
    <fill>
      <patternFill patternType="solid">
        <fgColor theme="0"/>
        <bgColor rgb="FFFFFFCC"/>
      </patternFill>
    </fill>
    <fill>
      <patternFill patternType="solid">
        <fgColor rgb="FFBBE33D"/>
        <bgColor rgb="FF81D41A"/>
      </patternFill>
    </fill>
    <fill>
      <patternFill patternType="solid">
        <fgColor rgb="FFFFFF00"/>
        <bgColor rgb="FFBBE33D"/>
      </patternFill>
    </fill>
    <fill>
      <patternFill patternType="solid">
        <fgColor rgb="FFFFBF00"/>
        <bgColor rgb="FFFF9900"/>
      </patternFill>
    </fill>
    <fill>
      <patternFill patternType="solid">
        <fgColor rgb="FF81D41A"/>
        <bgColor rgb="FFBBE33D"/>
      </patternFill>
    </fill>
  </fills>
  <borders count="2">
    <border diagonalUp="false" diagonalDown="false">
      <left/>
      <right/>
      <top/>
      <bottom/>
      <diagonal/>
    </border>
    <border diagonalUp="false" diagonalDown="false">
      <left style="thin">
        <color theme="1"/>
      </left>
      <right style="thin">
        <color theme="1"/>
      </right>
      <top style="thin">
        <color theme="1"/>
      </top>
      <bottom style="thin">
        <color them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left"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5" fillId="2" borderId="0" xfId="0" applyFont="true" applyBorder="false" applyAlignment="true" applyProtection="true">
      <alignment horizontal="left" vertical="bottom" textRotation="0" wrapText="false" indent="0" shrinkToFit="false"/>
      <protection locked="true" hidden="false"/>
    </xf>
    <xf numFmtId="164" fontId="5" fillId="3" borderId="1" xfId="0" applyFont="true" applyBorder="true" applyAlignment="true" applyProtection="true">
      <alignment horizontal="left" vertical="bottom" textRotation="0" wrapText="false" indent="0" shrinkToFit="false"/>
      <protection locked="true" hidden="false"/>
    </xf>
    <xf numFmtId="164" fontId="5" fillId="0" borderId="1" xfId="0" applyFont="true" applyBorder="true" applyAlignment="true" applyProtection="true">
      <alignment horizontal="right" vertical="bottom" textRotation="0" wrapText="false" indent="0" shrinkToFit="false"/>
      <protection locked="true" hidden="false"/>
    </xf>
    <xf numFmtId="164" fontId="5" fillId="4" borderId="1" xfId="0" applyFont="true" applyBorder="true" applyAlignment="true" applyProtection="true">
      <alignment horizontal="left"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5" fillId="5" borderId="1" xfId="0" applyFont="true" applyBorder="true" applyAlignment="true" applyProtection="true">
      <alignment horizontal="left" vertical="bottom" textRotation="0" wrapText="false" indent="0" shrinkToFit="false"/>
      <protection locked="true" hidden="false"/>
    </xf>
    <xf numFmtId="164" fontId="5" fillId="5" borderId="1" xfId="0" applyFont="true" applyBorder="true" applyAlignment="true" applyProtection="true">
      <alignment horizontal="right" vertical="bottom" textRotation="0" wrapText="false" indent="0" shrinkToFit="false"/>
      <protection locked="true" hidden="false"/>
    </xf>
    <xf numFmtId="164" fontId="6" fillId="6" borderId="1" xfId="0" applyFont="true" applyBorder="true" applyAlignment="true" applyProtection="true">
      <alignment horizontal="left" vertical="bottom" textRotation="0" wrapText="false" indent="0" shrinkToFit="false"/>
      <protection locked="true" hidden="false"/>
    </xf>
    <xf numFmtId="164" fontId="5" fillId="7" borderId="1" xfId="0" applyFont="true" applyBorder="true" applyAlignment="true" applyProtection="true">
      <alignment horizontal="left" vertical="bottom" textRotation="0" wrapText="false" indent="0" shrinkToFit="false"/>
      <protection locked="true" hidden="false"/>
    </xf>
    <xf numFmtId="164" fontId="0" fillId="7" borderId="1" xfId="0" applyFont="false" applyBorder="true" applyAlignment="true" applyProtection="true">
      <alignment horizontal="left" vertical="bottom" textRotation="0" wrapText="false" indent="0" shrinkToFit="false"/>
      <protection locked="true" hidden="false"/>
    </xf>
    <xf numFmtId="164" fontId="0" fillId="4" borderId="0" xfId="0" applyFont="false" applyBorder="false" applyAlignment="true" applyProtection="true">
      <alignment horizontal="left" vertical="bottom" textRotation="0" wrapText="false" indent="0" shrinkToFit="false"/>
      <protection locked="true" hidden="false"/>
    </xf>
    <xf numFmtId="164" fontId="0" fillId="2"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true" indent="0" shrinkToFit="false"/>
      <protection locked="true" hidden="false"/>
    </xf>
    <xf numFmtId="164" fontId="4" fillId="0" borderId="0" xfId="0" applyFont="true" applyBorder="true" applyAlignment="true" applyProtection="true">
      <alignment horizontal="left" vertical="top" textRotation="0" wrapText="true" indent="0" shrinkToFit="false"/>
      <protection locked="true" hidden="false"/>
    </xf>
    <xf numFmtId="164" fontId="0" fillId="8" borderId="1"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BF0041"/>
      <rgbColor rgb="FF008080"/>
      <rgbColor rgb="FFBFBFBF"/>
      <rgbColor rgb="FF808080"/>
      <rgbColor rgb="FF9999FF"/>
      <rgbColor rgb="FF993366"/>
      <rgbColor rgb="FFFFFFCC"/>
      <rgbColor rgb="FFCCFFFF"/>
      <rgbColor rgb="FF660066"/>
      <rgbColor rgb="FFFF8080"/>
      <rgbColor rgb="FF0066CC"/>
      <rgbColor rgb="FFB4C7DC"/>
      <rgbColor rgb="FF000080"/>
      <rgbColor rgb="FFFF00FF"/>
      <rgbColor rgb="FFBBE33D"/>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BF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true" showRowColHeaders="true" showZeros="true" rightToLeft="false" tabSelected="false" showOutlineSymbols="true" defaultGridColor="true" view="normal" topLeftCell="A3" colorId="64" zoomScale="220" zoomScaleNormal="220" zoomScalePageLayoutView="100" workbookViewId="0">
      <selection pane="topLeft" activeCell="A10" activeCellId="0" sqref="A10"/>
    </sheetView>
  </sheetViews>
  <sheetFormatPr defaultColWidth="11.53515625" defaultRowHeight="12.8" customHeight="false" zeroHeight="false" outlineLevelRow="0" outlineLevelCol="0"/>
  <sheetData>
    <row r="1" customFormat="false" ht="66.45" hidden="false" customHeight="true" outlineLevel="0" collapsed="false">
      <c r="A1" s="1" t="s">
        <v>0</v>
      </c>
      <c r="B1" s="1"/>
      <c r="C1" s="1"/>
      <c r="D1" s="1"/>
      <c r="E1" s="1"/>
      <c r="F1" s="1"/>
      <c r="G1" s="1"/>
      <c r="H1" s="1"/>
      <c r="I1" s="1"/>
      <c r="J1" s="1"/>
    </row>
    <row r="3" customFormat="false" ht="12.8" hidden="false" customHeight="false" outlineLevel="0" collapsed="false">
      <c r="A3" s="2" t="s">
        <v>1</v>
      </c>
      <c r="B3" s="2" t="s">
        <v>2</v>
      </c>
      <c r="C3" s="2"/>
      <c r="D3" s="2"/>
      <c r="E3" s="2"/>
      <c r="F3" s="2"/>
      <c r="G3" s="2"/>
      <c r="H3" s="2"/>
      <c r="I3" s="2"/>
      <c r="J3" s="2"/>
      <c r="K3" s="2"/>
    </row>
    <row r="4" customFormat="false" ht="12.8" hidden="false" customHeight="false" outlineLevel="0" collapsed="false">
      <c r="A4" s="2" t="s">
        <v>3</v>
      </c>
      <c r="B4" s="2" t="s">
        <v>4</v>
      </c>
      <c r="C4" s="2"/>
      <c r="D4" s="2"/>
      <c r="E4" s="2"/>
      <c r="F4" s="2"/>
      <c r="G4" s="2"/>
      <c r="H4" s="2"/>
      <c r="I4" s="2"/>
      <c r="J4" s="2"/>
      <c r="K4" s="2"/>
    </row>
    <row r="5" customFormat="false" ht="12.8" hidden="false" customHeight="false" outlineLevel="0" collapsed="false">
      <c r="A5" s="2"/>
      <c r="B5" s="2" t="s">
        <v>5</v>
      </c>
      <c r="C5" s="2"/>
      <c r="D5" s="2"/>
      <c r="E5" s="2"/>
      <c r="F5" s="2"/>
      <c r="G5" s="2"/>
      <c r="H5" s="2"/>
      <c r="I5" s="2"/>
      <c r="J5" s="2"/>
      <c r="K5" s="2"/>
    </row>
    <row r="6" customFormat="false" ht="12.8" hidden="false" customHeight="false" outlineLevel="0" collapsed="false">
      <c r="A6" s="2"/>
      <c r="B6" s="2" t="s">
        <v>6</v>
      </c>
      <c r="C6" s="2"/>
      <c r="D6" s="2"/>
      <c r="E6" s="2"/>
      <c r="F6" s="2"/>
      <c r="G6" s="2"/>
      <c r="H6" s="2"/>
      <c r="I6" s="2"/>
      <c r="J6" s="2"/>
      <c r="K6" s="2"/>
    </row>
    <row r="7" customFormat="false" ht="12.8" hidden="false" customHeight="false" outlineLevel="0" collapsed="false">
      <c r="A7" s="2"/>
      <c r="B7" s="2" t="s">
        <v>7</v>
      </c>
      <c r="C7" s="2"/>
      <c r="D7" s="2"/>
      <c r="E7" s="2"/>
      <c r="F7" s="2"/>
      <c r="G7" s="2"/>
      <c r="H7" s="2"/>
      <c r="I7" s="2"/>
      <c r="J7" s="2"/>
      <c r="K7" s="2"/>
    </row>
    <row r="9" customFormat="false" ht="13.8" hidden="false" customHeight="false" outlineLevel="0" collapsed="false">
      <c r="A9" s="3"/>
      <c r="B9" s="4" t="s">
        <v>8</v>
      </c>
      <c r="C9" s="4" t="s">
        <v>9</v>
      </c>
      <c r="D9" s="4" t="s">
        <v>10</v>
      </c>
      <c r="E9" s="3"/>
      <c r="J9" s="2"/>
      <c r="K9" s="2"/>
    </row>
    <row r="10" customFormat="false" ht="13.8" hidden="false" customHeight="false" outlineLevel="0" collapsed="false">
      <c r="A10" s="5" t="s">
        <v>11</v>
      </c>
      <c r="B10" s="6" t="n">
        <v>1.25</v>
      </c>
      <c r="C10" s="6" t="n">
        <v>1.5</v>
      </c>
      <c r="D10" s="6" t="n">
        <v>1.5</v>
      </c>
      <c r="E10" s="7" t="n">
        <f aca="false">SUMPRODUCT(B10:D10,$B$14:$D$14)</f>
        <v>310</v>
      </c>
      <c r="F10" s="8" t="s">
        <v>12</v>
      </c>
      <c r="G10" s="8" t="n">
        <v>310</v>
      </c>
      <c r="J10" s="2"/>
      <c r="K10" s="2"/>
    </row>
    <row r="11" customFormat="false" ht="13.8" hidden="false" customHeight="false" outlineLevel="0" collapsed="false">
      <c r="A11" s="5" t="s">
        <v>13</v>
      </c>
      <c r="B11" s="6" t="n">
        <v>1</v>
      </c>
      <c r="C11" s="6" t="n">
        <v>1</v>
      </c>
      <c r="D11" s="6" t="n">
        <v>0.75</v>
      </c>
      <c r="E11" s="7" t="n">
        <f aca="false">SUMPRODUCT(B11:D11,$B$14:$D$14)</f>
        <v>205</v>
      </c>
      <c r="F11" s="8" t="s">
        <v>12</v>
      </c>
      <c r="G11" s="8" t="n">
        <v>205</v>
      </c>
      <c r="J11" s="2"/>
      <c r="K11" s="2"/>
    </row>
    <row r="12" customFormat="false" ht="13.8" hidden="false" customHeight="false" outlineLevel="0" collapsed="false">
      <c r="A12" s="5" t="s">
        <v>14</v>
      </c>
      <c r="B12" s="6" t="n">
        <v>1</v>
      </c>
      <c r="C12" s="6" t="n">
        <v>1</v>
      </c>
      <c r="D12" s="6" t="n">
        <v>0.5</v>
      </c>
      <c r="E12" s="7" t="n">
        <f aca="false">SUMPRODUCT(B12:D12,$B$14:$D$14)</f>
        <v>181.111111111111</v>
      </c>
      <c r="F12" s="8" t="s">
        <v>12</v>
      </c>
      <c r="G12" s="8" t="n">
        <v>190</v>
      </c>
      <c r="J12" s="2"/>
      <c r="K12" s="2"/>
    </row>
    <row r="13" customFormat="false" ht="13.8" hidden="false" customHeight="false" outlineLevel="0" collapsed="false">
      <c r="A13" s="9" t="s">
        <v>15</v>
      </c>
      <c r="B13" s="10" t="n">
        <v>26</v>
      </c>
      <c r="C13" s="10" t="n">
        <v>28</v>
      </c>
      <c r="D13" s="10" t="n">
        <v>24</v>
      </c>
      <c r="E13" s="11" t="n">
        <f aca="false">SUMPRODUCT(B13:D13,$B$14:$D$14)</f>
        <v>5760</v>
      </c>
      <c r="J13" s="2"/>
      <c r="K13" s="2"/>
    </row>
    <row r="14" customFormat="false" ht="13.8" hidden="false" customHeight="false" outlineLevel="0" collapsed="false">
      <c r="A14" s="12" t="s">
        <v>16</v>
      </c>
      <c r="B14" s="13" t="n">
        <v>133.333333333333</v>
      </c>
      <c r="C14" s="13" t="n">
        <v>0</v>
      </c>
      <c r="D14" s="13" t="n">
        <v>95.5555555555555</v>
      </c>
      <c r="E14" s="14"/>
      <c r="F14" s="3"/>
      <c r="J14" s="2"/>
      <c r="K14" s="2"/>
    </row>
    <row r="15" customFormat="false" ht="12.8" hidden="false" customHeight="false" outlineLevel="0" collapsed="false">
      <c r="J15" s="2"/>
      <c r="K15" s="2"/>
    </row>
    <row r="16" customFormat="false" ht="12.8" hidden="false" customHeight="false" outlineLevel="0" collapsed="false">
      <c r="J16" s="2"/>
      <c r="K16" s="2"/>
    </row>
    <row r="17" customFormat="false" ht="12.8" hidden="false" customHeight="true" outlineLevel="0" collapsed="false">
      <c r="A17" s="1" t="s">
        <v>17</v>
      </c>
      <c r="B17" s="1"/>
      <c r="C17" s="1"/>
      <c r="D17" s="2" t="s">
        <v>18</v>
      </c>
      <c r="J17" s="2"/>
      <c r="K17" s="2"/>
    </row>
    <row r="18" customFormat="false" ht="12.8" hidden="false" customHeight="false" outlineLevel="0" collapsed="false">
      <c r="A18" s="1"/>
      <c r="B18" s="1"/>
      <c r="C18" s="1"/>
      <c r="D18" s="15" t="s">
        <v>19</v>
      </c>
      <c r="E18" s="16" t="n">
        <f aca="false">E13</f>
        <v>5760</v>
      </c>
      <c r="F18" s="8" t="s">
        <v>20</v>
      </c>
      <c r="G18" s="8"/>
      <c r="J18" s="2"/>
      <c r="K18" s="2"/>
    </row>
    <row r="19" customFormat="false" ht="12.8" hidden="false" customHeight="false" outlineLevel="0" collapsed="false">
      <c r="D19" s="15" t="s">
        <v>21</v>
      </c>
      <c r="E19" s="16" t="n">
        <f aca="false">B14</f>
        <v>133.333333333333</v>
      </c>
      <c r="F19" s="8" t="s">
        <v>22</v>
      </c>
      <c r="G19" s="8"/>
      <c r="J19" s="2"/>
      <c r="K19" s="2"/>
    </row>
    <row r="20" customFormat="false" ht="12.8" hidden="false" customHeight="false" outlineLevel="0" collapsed="false">
      <c r="D20" s="15" t="s">
        <v>23</v>
      </c>
      <c r="E20" s="16" t="n">
        <f aca="false">C14</f>
        <v>0</v>
      </c>
      <c r="F20" s="8" t="s">
        <v>24</v>
      </c>
      <c r="G20" s="8"/>
      <c r="H20" s="2"/>
      <c r="I20" s="2"/>
      <c r="J20" s="2"/>
      <c r="K20" s="2"/>
    </row>
    <row r="21" customFormat="false" ht="12.8" hidden="false" customHeight="false" outlineLevel="0" collapsed="false">
      <c r="D21" s="15" t="s">
        <v>25</v>
      </c>
      <c r="E21" s="8" t="n">
        <f aca="false">D14</f>
        <v>95.5555555555555</v>
      </c>
      <c r="F21" s="8" t="s">
        <v>26</v>
      </c>
      <c r="G21" s="8"/>
    </row>
    <row r="26" customFormat="false" ht="12.8" hidden="false" customHeight="false" outlineLevel="0" collapsed="false">
      <c r="B26" s="17"/>
    </row>
  </sheetData>
  <mergeCells count="6">
    <mergeCell ref="A1:J1"/>
    <mergeCell ref="A17:C18"/>
    <mergeCell ref="F18:G18"/>
    <mergeCell ref="F19:G19"/>
    <mergeCell ref="F20:G20"/>
    <mergeCell ref="F21:G21"/>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Roman,Normal"&amp;12Página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true" showRowColHeaders="true" showZeros="true" rightToLeft="false" tabSelected="false" showOutlineSymbols="true" defaultGridColor="true" view="normal" topLeftCell="A1" colorId="64" zoomScale="220" zoomScaleNormal="220" zoomScalePageLayoutView="100" workbookViewId="0">
      <selection pane="topLeft" activeCell="A9" activeCellId="0" sqref="A9"/>
    </sheetView>
  </sheetViews>
  <sheetFormatPr defaultColWidth="11.53515625" defaultRowHeight="12.8" customHeight="false" zeroHeight="false" outlineLevelRow="0" outlineLevelCol="0"/>
  <cols>
    <col collapsed="false" customWidth="false" hidden="false" outlineLevel="0" max="6" min="1" style="2" width="11.53"/>
    <col collapsed="false" customWidth="true" hidden="false" outlineLevel="0" max="7" min="7" style="2" width="12.26"/>
    <col collapsed="false" customWidth="false" hidden="false" outlineLevel="0" max="16384" min="8" style="2" width="11.53"/>
  </cols>
  <sheetData>
    <row r="1" customFormat="false" ht="131.6" hidden="false" customHeight="true" outlineLevel="0" collapsed="false">
      <c r="A1" s="18" t="s">
        <v>27</v>
      </c>
      <c r="B1" s="18"/>
      <c r="C1" s="18"/>
      <c r="D1" s="18"/>
      <c r="E1" s="18"/>
      <c r="F1" s="18"/>
      <c r="G1" s="18"/>
      <c r="H1" s="18"/>
      <c r="I1" s="18"/>
      <c r="J1" s="18"/>
    </row>
    <row r="3" customFormat="false" ht="12.8" hidden="false" customHeight="false" outlineLevel="0" collapsed="false">
      <c r="A3" s="2" t="s">
        <v>1</v>
      </c>
      <c r="B3" s="2" t="s">
        <v>28</v>
      </c>
    </row>
    <row r="4" customFormat="false" ht="12.8" hidden="false" customHeight="false" outlineLevel="0" collapsed="false">
      <c r="A4" s="2" t="s">
        <v>3</v>
      </c>
      <c r="B4" s="2" t="s">
        <v>29</v>
      </c>
    </row>
    <row r="5" customFormat="false" ht="12.8" hidden="false" customHeight="false" outlineLevel="0" collapsed="false">
      <c r="B5" s="2" t="s">
        <v>30</v>
      </c>
    </row>
    <row r="6" customFormat="false" ht="12.8" hidden="false" customHeight="false" outlineLevel="0" collapsed="false">
      <c r="B6" s="2" t="s">
        <v>31</v>
      </c>
    </row>
    <row r="8" customFormat="false" ht="13.8" hidden="false" customHeight="false" outlineLevel="0" collapsed="false">
      <c r="A8" s="3"/>
      <c r="B8" s="4" t="s">
        <v>8</v>
      </c>
      <c r="C8" s="4" t="s">
        <v>9</v>
      </c>
      <c r="D8" s="4" t="s">
        <v>10</v>
      </c>
      <c r="E8" s="3"/>
    </row>
    <row r="9" customFormat="false" ht="13.8" hidden="false" customHeight="false" outlineLevel="0" collapsed="false">
      <c r="A9" s="5" t="s">
        <v>11</v>
      </c>
      <c r="B9" s="6" t="n">
        <v>40</v>
      </c>
      <c r="C9" s="6" t="n">
        <v>30</v>
      </c>
      <c r="D9" s="6" t="n">
        <v>20</v>
      </c>
      <c r="E9" s="7" t="n">
        <f aca="false">SUMPRODUCT(B9:D9,$B$12:$D$12)</f>
        <v>70</v>
      </c>
      <c r="F9" s="8" t="s">
        <v>12</v>
      </c>
      <c r="G9" s="8" t="n">
        <v>80</v>
      </c>
    </row>
    <row r="10" customFormat="false" ht="13.8" hidden="false" customHeight="false" outlineLevel="0" collapsed="false">
      <c r="A10" s="5" t="s">
        <v>13</v>
      </c>
      <c r="B10" s="6" t="n">
        <v>30</v>
      </c>
      <c r="C10" s="6" t="n">
        <v>20</v>
      </c>
      <c r="D10" s="6" t="n">
        <v>20</v>
      </c>
      <c r="E10" s="7" t="n">
        <f aca="false">SUMPRODUCT(B10:D10,$B$12:$D$12)</f>
        <v>50</v>
      </c>
      <c r="F10" s="8" t="s">
        <v>12</v>
      </c>
      <c r="G10" s="8" t="n">
        <v>50</v>
      </c>
    </row>
    <row r="11" customFormat="false" ht="13.8" hidden="false" customHeight="false" outlineLevel="0" collapsed="false">
      <c r="A11" s="9" t="s">
        <v>15</v>
      </c>
      <c r="B11" s="10" t="n">
        <v>18</v>
      </c>
      <c r="C11" s="10" t="n">
        <v>15</v>
      </c>
      <c r="D11" s="10" t="n">
        <v>14</v>
      </c>
      <c r="E11" s="11" t="n">
        <f aca="false">SUMPRODUCT(B11:D11,$B$12:$D$12)</f>
        <v>33</v>
      </c>
    </row>
    <row r="12" customFormat="false" ht="13.8" hidden="false" customHeight="false" outlineLevel="0" collapsed="false">
      <c r="A12" s="12" t="s">
        <v>16</v>
      </c>
      <c r="B12" s="13" t="n">
        <v>1</v>
      </c>
      <c r="C12" s="13" t="n">
        <v>1</v>
      </c>
      <c r="D12" s="13" t="n">
        <v>0</v>
      </c>
      <c r="E12" s="14"/>
      <c r="F12" s="3"/>
    </row>
    <row r="14" customFormat="false" ht="12.8" hidden="false" customHeight="true" outlineLevel="0" collapsed="false">
      <c r="A14" s="19" t="s">
        <v>32</v>
      </c>
      <c r="B14" s="19"/>
      <c r="C14" s="19"/>
      <c r="D14" s="2" t="s">
        <v>18</v>
      </c>
    </row>
    <row r="15" customFormat="false" ht="12.8" hidden="false" customHeight="false" outlineLevel="0" collapsed="false">
      <c r="A15" s="19"/>
      <c r="B15" s="19"/>
      <c r="C15" s="19"/>
      <c r="D15" s="15" t="s">
        <v>19</v>
      </c>
      <c r="E15" s="16" t="n">
        <f aca="false">E11</f>
        <v>33</v>
      </c>
      <c r="F15" s="8" t="s">
        <v>33</v>
      </c>
      <c r="G15" s="8"/>
    </row>
    <row r="16" customFormat="false" ht="12.8" hidden="false" customHeight="false" outlineLevel="0" collapsed="false">
      <c r="A16" s="19"/>
      <c r="B16" s="19"/>
      <c r="C16" s="19"/>
      <c r="D16" s="15" t="s">
        <v>21</v>
      </c>
      <c r="E16" s="16" t="n">
        <f aca="false">B12</f>
        <v>1</v>
      </c>
      <c r="F16" s="8" t="s">
        <v>34</v>
      </c>
      <c r="G16" s="8"/>
    </row>
    <row r="17" customFormat="false" ht="12.8" hidden="false" customHeight="false" outlineLevel="0" collapsed="false">
      <c r="A17" s="19"/>
      <c r="B17" s="19"/>
      <c r="C17" s="19"/>
      <c r="D17" s="15" t="s">
        <v>23</v>
      </c>
      <c r="E17" s="16" t="n">
        <f aca="false">C12</f>
        <v>1</v>
      </c>
      <c r="F17" s="8" t="s">
        <v>35</v>
      </c>
      <c r="G17" s="8"/>
    </row>
    <row r="18" customFormat="false" ht="12.8" hidden="false" customHeight="false" outlineLevel="0" collapsed="false">
      <c r="D18" s="15" t="s">
        <v>25</v>
      </c>
      <c r="E18" s="8" t="n">
        <f aca="false">D12</f>
        <v>0</v>
      </c>
      <c r="F18" s="8" t="s">
        <v>36</v>
      </c>
      <c r="G18" s="8"/>
    </row>
  </sheetData>
  <mergeCells count="6">
    <mergeCell ref="A1:J1"/>
    <mergeCell ref="A14:C17"/>
    <mergeCell ref="F15:G15"/>
    <mergeCell ref="F16:G16"/>
    <mergeCell ref="F17:G17"/>
    <mergeCell ref="F18:G18"/>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
  <sheetViews>
    <sheetView showFormulas="false" showGridLines="true" showRowColHeaders="true" showZeros="true" rightToLeft="false" tabSelected="true" showOutlineSymbols="true" defaultGridColor="true" view="normal" topLeftCell="A10" colorId="64" zoomScale="220" zoomScaleNormal="220" zoomScalePageLayoutView="100" workbookViewId="0">
      <selection pane="topLeft" activeCell="A17" activeCellId="0" sqref="A17"/>
    </sheetView>
  </sheetViews>
  <sheetFormatPr defaultColWidth="11.53515625" defaultRowHeight="12.8" customHeight="false" zeroHeight="false" outlineLevelRow="0" outlineLevelCol="0"/>
  <cols>
    <col collapsed="false" customWidth="true" hidden="false" outlineLevel="0" max="4" min="4" style="2" width="12.45"/>
  </cols>
  <sheetData>
    <row r="1" customFormat="false" ht="77.3" hidden="false" customHeight="true" outlineLevel="0" collapsed="false">
      <c r="A1" s="1" t="s">
        <v>37</v>
      </c>
      <c r="B1" s="1"/>
      <c r="C1" s="1"/>
      <c r="D1" s="1"/>
      <c r="E1" s="1"/>
      <c r="F1" s="1"/>
      <c r="G1" s="1"/>
      <c r="H1" s="1"/>
      <c r="I1" s="1"/>
      <c r="J1" s="1"/>
    </row>
    <row r="3" customFormat="false" ht="12.8" hidden="false" customHeight="false" outlineLevel="0" collapsed="false">
      <c r="A3" s="2" t="s">
        <v>1</v>
      </c>
      <c r="B3" s="2" t="s">
        <v>38</v>
      </c>
      <c r="C3" s="2"/>
      <c r="E3" s="2"/>
      <c r="F3" s="2"/>
      <c r="G3" s="2"/>
      <c r="H3" s="2"/>
      <c r="I3" s="2"/>
      <c r="J3" s="2"/>
      <c r="K3" s="2"/>
    </row>
    <row r="4" customFormat="false" ht="12.8" hidden="false" customHeight="false" outlineLevel="0" collapsed="false">
      <c r="A4" s="2" t="s">
        <v>3</v>
      </c>
      <c r="B4" s="2" t="s">
        <v>39</v>
      </c>
      <c r="C4" s="2"/>
      <c r="E4" s="2"/>
      <c r="F4" s="2"/>
      <c r="G4" s="2"/>
      <c r="H4" s="2"/>
      <c r="I4" s="2"/>
      <c r="J4" s="2"/>
      <c r="K4" s="2"/>
    </row>
    <row r="5" customFormat="false" ht="12.8" hidden="false" customHeight="false" outlineLevel="0" collapsed="false">
      <c r="A5" s="2"/>
      <c r="B5" s="2" t="s">
        <v>40</v>
      </c>
      <c r="C5" s="2"/>
      <c r="E5" s="2"/>
      <c r="F5" s="2"/>
      <c r="G5" s="2"/>
      <c r="H5" s="2"/>
      <c r="I5" s="2"/>
      <c r="J5" s="2"/>
      <c r="K5" s="2"/>
    </row>
    <row r="6" customFormat="false" ht="12.8" hidden="false" customHeight="false" outlineLevel="0" collapsed="false">
      <c r="A6" s="2"/>
      <c r="B6" s="2" t="s">
        <v>41</v>
      </c>
      <c r="C6" s="2"/>
      <c r="E6" s="2"/>
      <c r="F6" s="2"/>
      <c r="G6" s="2"/>
      <c r="H6" s="2"/>
      <c r="I6" s="2"/>
      <c r="J6" s="2"/>
      <c r="K6" s="2"/>
    </row>
    <row r="7" customFormat="false" ht="12.8" hidden="false" customHeight="false" outlineLevel="0" collapsed="false">
      <c r="A7" s="2"/>
      <c r="B7" s="2" t="s">
        <v>42</v>
      </c>
      <c r="C7" s="2"/>
      <c r="E7" s="2"/>
      <c r="F7" s="2"/>
      <c r="G7" s="2"/>
      <c r="H7" s="2"/>
      <c r="I7" s="2"/>
      <c r="J7" s="2"/>
      <c r="K7" s="2"/>
    </row>
    <row r="9" customFormat="false" ht="13.8" hidden="false" customHeight="false" outlineLevel="0" collapsed="false">
      <c r="A9" s="3"/>
      <c r="B9" s="4" t="s">
        <v>8</v>
      </c>
      <c r="C9" s="4" t="s">
        <v>9</v>
      </c>
      <c r="D9" s="3"/>
      <c r="I9" s="2"/>
      <c r="J9" s="2"/>
    </row>
    <row r="10" customFormat="false" ht="13.8" hidden="false" customHeight="false" outlineLevel="0" collapsed="false">
      <c r="A10" s="5" t="s">
        <v>11</v>
      </c>
      <c r="B10" s="6" t="n">
        <v>390</v>
      </c>
      <c r="C10" s="6" t="n">
        <v>240</v>
      </c>
      <c r="D10" s="7" t="n">
        <f aca="false">SUMPRODUCT(B10:C10,$B$14:$C$14)</f>
        <v>1800</v>
      </c>
      <c r="E10" s="8" t="s">
        <v>12</v>
      </c>
      <c r="F10" s="8" t="n">
        <v>1800</v>
      </c>
      <c r="I10" s="2"/>
      <c r="J10" s="2"/>
    </row>
    <row r="11" customFormat="false" ht="13.8" hidden="false" customHeight="false" outlineLevel="0" collapsed="false">
      <c r="A11" s="5" t="s">
        <v>13</v>
      </c>
      <c r="B11" s="6" t="n">
        <v>1</v>
      </c>
      <c r="C11" s="6"/>
      <c r="D11" s="7" t="n">
        <f aca="false">SUMPRODUCT(B11:C11,$B$14:$C$14)</f>
        <v>4</v>
      </c>
      <c r="E11" s="8" t="s">
        <v>43</v>
      </c>
      <c r="F11" s="8" t="n">
        <v>2</v>
      </c>
      <c r="I11" s="2"/>
      <c r="J11" s="2"/>
    </row>
    <row r="12" customFormat="false" ht="13.8" hidden="false" customHeight="false" outlineLevel="0" collapsed="false">
      <c r="A12" s="5" t="s">
        <v>14</v>
      </c>
      <c r="B12" s="6"/>
      <c r="C12" s="6" t="n">
        <v>1</v>
      </c>
      <c r="D12" s="7" t="n">
        <f aca="false">SUMPRODUCT(B12:C12,$B$14:$C$14)</f>
        <v>1</v>
      </c>
      <c r="E12" s="8" t="s">
        <v>12</v>
      </c>
      <c r="F12" s="8" t="n">
        <v>6</v>
      </c>
      <c r="I12" s="2"/>
      <c r="J12" s="2"/>
    </row>
    <row r="13" customFormat="false" ht="13.8" hidden="false" customHeight="false" outlineLevel="0" collapsed="false">
      <c r="A13" s="9" t="s">
        <v>15</v>
      </c>
      <c r="B13" s="10" t="n">
        <v>8200</v>
      </c>
      <c r="C13" s="10" t="n">
        <v>5100</v>
      </c>
      <c r="D13" s="11" t="n">
        <f aca="false">SUMPRODUCT(B13:C13,$B$14:$C$14)</f>
        <v>37900</v>
      </c>
      <c r="I13" s="2"/>
      <c r="J13" s="2"/>
    </row>
    <row r="14" customFormat="false" ht="13.8" hidden="false" customHeight="false" outlineLevel="0" collapsed="false">
      <c r="A14" s="12" t="s">
        <v>16</v>
      </c>
      <c r="B14" s="13" t="n">
        <v>4</v>
      </c>
      <c r="C14" s="13" t="n">
        <v>1</v>
      </c>
      <c r="D14" s="14"/>
      <c r="E14" s="3"/>
      <c r="I14" s="2"/>
      <c r="J14" s="2"/>
    </row>
    <row r="15" customFormat="false" ht="12.8" hidden="false" customHeight="false" outlineLevel="0" collapsed="false">
      <c r="J15" s="2"/>
      <c r="K15" s="2"/>
    </row>
    <row r="16" customFormat="false" ht="12.8" hidden="false" customHeight="false" outlineLevel="0" collapsed="false">
      <c r="D16" s="2" t="s">
        <v>18</v>
      </c>
      <c r="J16" s="2"/>
      <c r="K16" s="2"/>
    </row>
    <row r="17" customFormat="false" ht="12.8" hidden="false" customHeight="true" outlineLevel="0" collapsed="false">
      <c r="A17" s="18" t="s">
        <v>44</v>
      </c>
      <c r="B17" s="18"/>
      <c r="C17" s="18"/>
      <c r="D17" s="15" t="s">
        <v>19</v>
      </c>
      <c r="E17" s="16" t="n">
        <f aca="false">D13</f>
        <v>37900</v>
      </c>
      <c r="F17" s="16" t="s">
        <v>45</v>
      </c>
      <c r="J17" s="2"/>
      <c r="K17" s="2"/>
    </row>
    <row r="18" customFormat="false" ht="12.8" hidden="false" customHeight="false" outlineLevel="0" collapsed="false">
      <c r="A18" s="18"/>
      <c r="B18" s="18"/>
      <c r="C18" s="18"/>
      <c r="D18" s="15" t="s">
        <v>21</v>
      </c>
      <c r="E18" s="16" t="n">
        <f aca="false">B14</f>
        <v>4</v>
      </c>
      <c r="F18" s="8" t="s">
        <v>46</v>
      </c>
      <c r="G18" s="8"/>
      <c r="J18" s="2"/>
      <c r="K18" s="2"/>
    </row>
    <row r="19" customFormat="false" ht="12.8" hidden="false" customHeight="false" outlineLevel="0" collapsed="false">
      <c r="A19" s="18"/>
      <c r="B19" s="18"/>
      <c r="C19" s="18"/>
      <c r="D19" s="15" t="s">
        <v>23</v>
      </c>
      <c r="E19" s="16" t="n">
        <f aca="false">C14</f>
        <v>1</v>
      </c>
      <c r="F19" s="8" t="s">
        <v>47</v>
      </c>
      <c r="G19" s="8"/>
      <c r="J19" s="2"/>
      <c r="K19" s="2"/>
    </row>
    <row r="20" customFormat="false" ht="12.8" hidden="false" customHeight="false" outlineLevel="0" collapsed="false">
      <c r="D20" s="16" t="s">
        <v>48</v>
      </c>
      <c r="E20" s="16" t="n">
        <f aca="false">E18*B10</f>
        <v>1560</v>
      </c>
    </row>
    <row r="21" customFormat="false" ht="12.8" hidden="false" customHeight="false" outlineLevel="0" collapsed="false">
      <c r="D21" s="16" t="s">
        <v>48</v>
      </c>
      <c r="E21" s="16" t="n">
        <f aca="false">E19*C10</f>
        <v>240</v>
      </c>
    </row>
    <row r="22" customFormat="false" ht="12.8" hidden="false" customHeight="false" outlineLevel="0" collapsed="false">
      <c r="D22" s="20" t="s">
        <v>49</v>
      </c>
      <c r="E22" s="20" t="n">
        <f aca="false">SUM(E20:E21)</f>
        <v>1800</v>
      </c>
    </row>
  </sheetData>
  <mergeCells count="4">
    <mergeCell ref="A1:J1"/>
    <mergeCell ref="A17:C19"/>
    <mergeCell ref="F18:G18"/>
    <mergeCell ref="F19:G19"/>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
  <sheetViews>
    <sheetView showFormulas="false" showGridLines="true" showRowColHeaders="true" showZeros="true" rightToLeft="false" tabSelected="false" showOutlineSymbols="true" defaultGridColor="true" view="normal" topLeftCell="A8" colorId="64" zoomScale="220" zoomScaleNormal="220" zoomScalePageLayoutView="100" workbookViewId="0">
      <selection pane="topLeft" activeCell="A10" activeCellId="0" sqref="A10"/>
    </sheetView>
  </sheetViews>
  <sheetFormatPr defaultColWidth="11.53515625" defaultRowHeight="12.8" customHeight="false" zeroHeight="false" outlineLevelRow="0" outlineLevelCol="0"/>
  <sheetData>
    <row r="1" customFormat="false" ht="55.6" hidden="false" customHeight="true" outlineLevel="0" collapsed="false">
      <c r="A1" s="1" t="s">
        <v>50</v>
      </c>
      <c r="B1" s="1"/>
      <c r="C1" s="1"/>
      <c r="D1" s="1"/>
      <c r="E1" s="1"/>
      <c r="F1" s="1"/>
      <c r="G1" s="1"/>
      <c r="H1" s="1"/>
      <c r="I1" s="1"/>
      <c r="J1" s="1"/>
    </row>
    <row r="3" customFormat="false" ht="12.8" hidden="false" customHeight="false" outlineLevel="0" collapsed="false">
      <c r="A3" s="2" t="s">
        <v>51</v>
      </c>
      <c r="B3" s="2" t="s">
        <v>52</v>
      </c>
      <c r="C3" s="2"/>
      <c r="D3" s="2"/>
      <c r="E3" s="2"/>
      <c r="F3" s="2"/>
      <c r="G3" s="2"/>
      <c r="H3" s="2"/>
      <c r="I3" s="2"/>
      <c r="J3" s="2"/>
      <c r="K3" s="2"/>
    </row>
    <row r="4" customFormat="false" ht="12.8" hidden="false" customHeight="false" outlineLevel="0" collapsed="false">
      <c r="A4" s="2" t="s">
        <v>3</v>
      </c>
      <c r="B4" s="2" t="s">
        <v>53</v>
      </c>
      <c r="C4" s="2"/>
      <c r="D4" s="2"/>
      <c r="E4" s="2"/>
      <c r="F4" s="2"/>
      <c r="G4" s="2"/>
      <c r="H4" s="2"/>
      <c r="I4" s="2"/>
      <c r="J4" s="2"/>
      <c r="K4" s="2"/>
    </row>
    <row r="5" customFormat="false" ht="12.8" hidden="false" customHeight="false" outlineLevel="0" collapsed="false">
      <c r="A5" s="2"/>
      <c r="B5" s="2" t="s">
        <v>54</v>
      </c>
      <c r="C5" s="2"/>
      <c r="D5" s="2"/>
      <c r="E5" s="2"/>
      <c r="F5" s="2"/>
      <c r="G5" s="2"/>
      <c r="H5" s="2"/>
      <c r="I5" s="2"/>
      <c r="J5" s="2"/>
      <c r="K5" s="2"/>
    </row>
    <row r="6" customFormat="false" ht="12.8" hidden="false" customHeight="false" outlineLevel="0" collapsed="false">
      <c r="A6" s="2"/>
      <c r="B6" s="2" t="s">
        <v>55</v>
      </c>
      <c r="C6" s="2"/>
      <c r="D6" s="2"/>
      <c r="E6" s="2"/>
      <c r="F6" s="2"/>
      <c r="G6" s="2"/>
      <c r="H6" s="2"/>
      <c r="I6" s="2"/>
      <c r="J6" s="2"/>
    </row>
    <row r="7" customFormat="false" ht="12.8" hidden="false" customHeight="false" outlineLevel="0" collapsed="false">
      <c r="A7" s="2"/>
      <c r="B7" s="2" t="s">
        <v>56</v>
      </c>
      <c r="C7" s="2"/>
      <c r="D7" s="2"/>
      <c r="E7" s="2"/>
      <c r="F7" s="2"/>
      <c r="G7" s="2"/>
      <c r="H7" s="2"/>
      <c r="I7" s="2"/>
      <c r="J7" s="2"/>
    </row>
    <row r="8" customFormat="false" ht="12.8" hidden="false" customHeight="false" outlineLevel="0" collapsed="false">
      <c r="A8" s="2"/>
      <c r="B8" s="2"/>
      <c r="C8" s="2"/>
      <c r="D8" s="2"/>
      <c r="E8" s="2"/>
      <c r="F8" s="2"/>
      <c r="G8" s="2"/>
      <c r="H8" s="2"/>
      <c r="I8" s="2"/>
      <c r="J8" s="2"/>
    </row>
    <row r="9" customFormat="false" ht="13.8" hidden="false" customHeight="false" outlineLevel="0" collapsed="false">
      <c r="A9" s="3"/>
      <c r="B9" s="4" t="s">
        <v>8</v>
      </c>
      <c r="C9" s="4" t="s">
        <v>9</v>
      </c>
      <c r="D9" s="3"/>
      <c r="I9" s="2"/>
      <c r="J9" s="2"/>
    </row>
    <row r="10" customFormat="false" ht="13.8" hidden="false" customHeight="false" outlineLevel="0" collapsed="false">
      <c r="A10" s="5" t="s">
        <v>11</v>
      </c>
      <c r="B10" s="6" t="n">
        <v>30</v>
      </c>
      <c r="C10" s="6" t="n">
        <v>25</v>
      </c>
      <c r="D10" s="7" t="n">
        <f aca="false">SUMPRODUCT(B10:C10,$B$14:$C$14)</f>
        <v>400</v>
      </c>
      <c r="E10" s="8" t="s">
        <v>43</v>
      </c>
      <c r="F10" s="8" t="n">
        <v>400</v>
      </c>
      <c r="I10" s="2"/>
      <c r="J10" s="2"/>
    </row>
    <row r="11" customFormat="false" ht="13.8" hidden="false" customHeight="false" outlineLevel="0" collapsed="false">
      <c r="A11" s="5" t="s">
        <v>14</v>
      </c>
      <c r="B11" s="6" t="n">
        <v>2</v>
      </c>
      <c r="C11" s="6" t="n">
        <v>5</v>
      </c>
      <c r="D11" s="7" t="n">
        <f aca="false">SUMPRODUCT(B11:C11,$B$14:$C$14)</f>
        <v>40</v>
      </c>
      <c r="E11" s="8" t="s">
        <v>43</v>
      </c>
      <c r="F11" s="8" t="n">
        <v>40</v>
      </c>
      <c r="I11" s="2"/>
      <c r="J11" s="2"/>
    </row>
    <row r="12" customFormat="false" ht="13.8" hidden="false" customHeight="false" outlineLevel="0" collapsed="false">
      <c r="A12" s="5" t="s">
        <v>13</v>
      </c>
      <c r="B12" s="6" t="n">
        <v>1</v>
      </c>
      <c r="C12" s="6" t="n">
        <v>0.5</v>
      </c>
      <c r="D12" s="7" t="n">
        <f aca="false">SUMPRODUCT(B12:C12,$B$14:$C$14)</f>
        <v>12</v>
      </c>
      <c r="E12" s="8" t="s">
        <v>43</v>
      </c>
      <c r="F12" s="8" t="n">
        <v>10</v>
      </c>
      <c r="I12" s="2"/>
      <c r="J12" s="2"/>
    </row>
    <row r="13" customFormat="false" ht="13.8" hidden="false" customHeight="false" outlineLevel="0" collapsed="false">
      <c r="A13" s="9" t="s">
        <v>15</v>
      </c>
      <c r="B13" s="10" t="n">
        <v>2</v>
      </c>
      <c r="C13" s="10" t="n">
        <v>5</v>
      </c>
      <c r="D13" s="11" t="n">
        <f aca="false">SUMPRODUCT(B13:C13,$B$14:$C$14)</f>
        <v>40</v>
      </c>
      <c r="I13" s="2"/>
      <c r="J13" s="2"/>
    </row>
    <row r="14" customFormat="false" ht="13.8" hidden="false" customHeight="false" outlineLevel="0" collapsed="false">
      <c r="A14" s="12" t="s">
        <v>16</v>
      </c>
      <c r="B14" s="13" t="n">
        <v>10</v>
      </c>
      <c r="C14" s="13" t="n">
        <v>4</v>
      </c>
      <c r="D14" s="14"/>
      <c r="E14" s="3"/>
      <c r="I14" s="2"/>
      <c r="J14" s="2"/>
    </row>
    <row r="15" customFormat="false" ht="12.8" hidden="false" customHeight="false" outlineLevel="0" collapsed="false">
      <c r="I15" s="2"/>
      <c r="J15" s="2"/>
    </row>
    <row r="16" customFormat="false" ht="12.8" hidden="false" customHeight="false" outlineLevel="0" collapsed="false">
      <c r="I16" s="2"/>
      <c r="J16" s="2"/>
    </row>
    <row r="17" customFormat="false" ht="12.8" hidden="false" customHeight="true" outlineLevel="0" collapsed="false">
      <c r="A17" s="21" t="s">
        <v>57</v>
      </c>
      <c r="B17" s="21"/>
      <c r="C17" s="21"/>
      <c r="D17" s="21"/>
      <c r="E17" s="2" t="s">
        <v>18</v>
      </c>
      <c r="I17" s="2"/>
      <c r="J17" s="2"/>
    </row>
    <row r="18" customFormat="false" ht="12.8" hidden="false" customHeight="false" outlineLevel="0" collapsed="false">
      <c r="A18" s="21"/>
      <c r="B18" s="21"/>
      <c r="C18" s="21"/>
      <c r="D18" s="21"/>
      <c r="E18" s="15" t="s">
        <v>19</v>
      </c>
      <c r="F18" s="16" t="n">
        <f aca="false">D13</f>
        <v>40</v>
      </c>
      <c r="G18" s="8" t="s">
        <v>58</v>
      </c>
      <c r="H18" s="8"/>
      <c r="J18" s="2"/>
      <c r="K18" s="2"/>
    </row>
    <row r="19" customFormat="false" ht="12.8" hidden="false" customHeight="false" outlineLevel="0" collapsed="false">
      <c r="A19" s="21"/>
      <c r="B19" s="21"/>
      <c r="C19" s="21"/>
      <c r="D19" s="21"/>
      <c r="E19" s="15" t="s">
        <v>21</v>
      </c>
      <c r="F19" s="16" t="n">
        <f aca="false">B14</f>
        <v>10</v>
      </c>
      <c r="G19" s="8" t="s">
        <v>59</v>
      </c>
      <c r="H19" s="8"/>
      <c r="J19" s="2"/>
      <c r="K19" s="2"/>
    </row>
    <row r="20" customFormat="false" ht="12.8" hidden="false" customHeight="false" outlineLevel="0" collapsed="false">
      <c r="E20" s="15" t="s">
        <v>23</v>
      </c>
      <c r="F20" s="16" t="n">
        <f aca="false">C14</f>
        <v>4</v>
      </c>
      <c r="G20" s="8" t="s">
        <v>60</v>
      </c>
      <c r="H20" s="8"/>
    </row>
  </sheetData>
  <mergeCells count="5">
    <mergeCell ref="A1:J1"/>
    <mergeCell ref="A17:D19"/>
    <mergeCell ref="G18:H18"/>
    <mergeCell ref="G19:H19"/>
    <mergeCell ref="G20:H20"/>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2" colorId="64" zoomScale="220" zoomScaleNormal="220" zoomScalePageLayoutView="100" workbookViewId="0">
      <selection pane="topLeft" activeCell="C21" activeCellId="0" sqref="C21"/>
    </sheetView>
  </sheetViews>
  <sheetFormatPr defaultColWidth="11.53515625" defaultRowHeight="12.8" customHeight="false" zeroHeight="false" outlineLevelRow="0" outlineLevelCol="0"/>
  <sheetData>
    <row r="1" customFormat="false" ht="44.75" hidden="false" customHeight="true" outlineLevel="0" collapsed="false">
      <c r="A1" s="1" t="s">
        <v>61</v>
      </c>
      <c r="B1" s="1"/>
      <c r="C1" s="1"/>
      <c r="D1" s="1"/>
      <c r="E1" s="1"/>
      <c r="F1" s="1"/>
      <c r="G1" s="1"/>
      <c r="H1" s="1"/>
      <c r="I1" s="1"/>
      <c r="J1" s="1"/>
    </row>
    <row r="3" customFormat="false" ht="12.8" hidden="false" customHeight="false" outlineLevel="0" collapsed="false">
      <c r="A3" s="2" t="s">
        <v>1</v>
      </c>
      <c r="B3" s="2" t="s">
        <v>62</v>
      </c>
      <c r="C3" s="2"/>
      <c r="D3" s="2"/>
      <c r="E3" s="2"/>
      <c r="F3" s="2"/>
      <c r="G3" s="2"/>
      <c r="H3" s="2"/>
      <c r="I3" s="2"/>
      <c r="J3" s="2"/>
      <c r="K3" s="2"/>
    </row>
    <row r="4" customFormat="false" ht="12.8" hidden="false" customHeight="false" outlineLevel="0" collapsed="false">
      <c r="A4" s="2" t="s">
        <v>3</v>
      </c>
      <c r="B4" s="2" t="s">
        <v>63</v>
      </c>
      <c r="C4" s="2"/>
      <c r="D4" s="2"/>
      <c r="E4" s="2"/>
      <c r="F4" s="2"/>
      <c r="G4" s="2"/>
      <c r="H4" s="2"/>
      <c r="I4" s="2"/>
      <c r="J4" s="2"/>
      <c r="K4" s="2"/>
    </row>
    <row r="5" customFormat="false" ht="12.8" hidden="false" customHeight="false" outlineLevel="0" collapsed="false">
      <c r="A5" s="2"/>
      <c r="B5" s="2" t="s">
        <v>64</v>
      </c>
      <c r="C5" s="2"/>
      <c r="D5" s="2"/>
      <c r="E5" s="2"/>
      <c r="F5" s="2"/>
      <c r="G5" s="2"/>
      <c r="H5" s="2"/>
      <c r="I5" s="2"/>
      <c r="J5" s="2"/>
      <c r="K5" s="2"/>
    </row>
    <row r="6" customFormat="false" ht="12.8" hidden="false" customHeight="false" outlineLevel="0" collapsed="false">
      <c r="A6" s="2"/>
      <c r="B6" s="2" t="s">
        <v>65</v>
      </c>
      <c r="C6" s="2"/>
      <c r="D6" s="2"/>
      <c r="E6" s="2"/>
      <c r="F6" s="2"/>
      <c r="G6" s="2"/>
      <c r="H6" s="2"/>
      <c r="I6" s="2"/>
      <c r="J6" s="2"/>
    </row>
    <row r="7" customFormat="false" ht="12.8" hidden="false" customHeight="false" outlineLevel="0" collapsed="false">
      <c r="A7" s="2"/>
      <c r="B7" s="2" t="s">
        <v>42</v>
      </c>
      <c r="C7" s="2"/>
      <c r="D7" s="2"/>
      <c r="E7" s="2"/>
      <c r="F7" s="2"/>
      <c r="G7" s="2"/>
      <c r="H7" s="2"/>
      <c r="I7" s="2"/>
      <c r="J7" s="2"/>
    </row>
    <row r="8" customFormat="false" ht="12.8" hidden="false" customHeight="false" outlineLevel="0" collapsed="false">
      <c r="A8" s="2"/>
      <c r="B8" s="2"/>
      <c r="C8" s="2"/>
      <c r="D8" s="2"/>
      <c r="E8" s="2"/>
      <c r="F8" s="2"/>
      <c r="G8" s="2"/>
      <c r="H8" s="2"/>
      <c r="I8" s="2"/>
      <c r="J8" s="2"/>
    </row>
    <row r="9" customFormat="false" ht="13.8" hidden="false" customHeight="false" outlineLevel="0" collapsed="false">
      <c r="A9" s="3"/>
      <c r="B9" s="4" t="s">
        <v>8</v>
      </c>
      <c r="C9" s="4" t="s">
        <v>9</v>
      </c>
      <c r="D9" s="3"/>
      <c r="I9" s="2"/>
      <c r="J9" s="2"/>
    </row>
    <row r="10" customFormat="false" ht="13.8" hidden="false" customHeight="false" outlineLevel="0" collapsed="false">
      <c r="A10" s="5" t="s">
        <v>11</v>
      </c>
      <c r="B10" s="6" t="n">
        <v>2</v>
      </c>
      <c r="C10" s="6" t="n">
        <v>1</v>
      </c>
      <c r="D10" s="7" t="n">
        <f aca="false">SUMPRODUCT(B10:C10,$B$14:$C$14)</f>
        <v>10</v>
      </c>
      <c r="E10" s="8" t="s">
        <v>12</v>
      </c>
      <c r="F10" s="8" t="n">
        <v>10</v>
      </c>
      <c r="I10" s="2"/>
      <c r="J10" s="2"/>
    </row>
    <row r="11" customFormat="false" ht="13.8" hidden="false" customHeight="false" outlineLevel="0" collapsed="false">
      <c r="A11" s="5" t="s">
        <v>14</v>
      </c>
      <c r="B11" s="6" t="n">
        <v>1</v>
      </c>
      <c r="C11" s="6"/>
      <c r="D11" s="7" t="n">
        <f aca="false">SUMPRODUCT(B11:C11,$B$14:$C$14)</f>
        <v>3</v>
      </c>
      <c r="E11" s="8" t="s">
        <v>12</v>
      </c>
      <c r="F11" s="8" t="n">
        <v>3</v>
      </c>
      <c r="I11" s="2"/>
      <c r="J11" s="2"/>
    </row>
    <row r="12" customFormat="false" ht="13.8" hidden="false" customHeight="false" outlineLevel="0" collapsed="false">
      <c r="A12" s="5" t="s">
        <v>13</v>
      </c>
      <c r="B12" s="6"/>
      <c r="C12" s="6" t="n">
        <v>1</v>
      </c>
      <c r="D12" s="7" t="n">
        <f aca="false">SUMPRODUCT(B12:C12,$B$14:$C$14)</f>
        <v>4</v>
      </c>
      <c r="E12" s="8" t="s">
        <v>12</v>
      </c>
      <c r="F12" s="8" t="n">
        <v>5</v>
      </c>
      <c r="I12" s="2"/>
      <c r="J12" s="2"/>
    </row>
    <row r="13" customFormat="false" ht="13.8" hidden="false" customHeight="false" outlineLevel="0" collapsed="false">
      <c r="A13" s="9" t="s">
        <v>15</v>
      </c>
      <c r="B13" s="10" t="n">
        <v>3</v>
      </c>
      <c r="C13" s="10" t="n">
        <v>2</v>
      </c>
      <c r="D13" s="11" t="n">
        <f aca="false">SUMPRODUCT(B13:C13,$B$14:$C$14)</f>
        <v>17</v>
      </c>
      <c r="I13" s="2"/>
      <c r="J13" s="2"/>
    </row>
    <row r="14" customFormat="false" ht="13.8" hidden="false" customHeight="false" outlineLevel="0" collapsed="false">
      <c r="A14" s="12" t="s">
        <v>16</v>
      </c>
      <c r="B14" s="13" t="n">
        <v>3</v>
      </c>
      <c r="C14" s="13" t="n">
        <v>4</v>
      </c>
      <c r="D14" s="14"/>
      <c r="E14" s="3"/>
      <c r="I14" s="2"/>
      <c r="J14" s="2"/>
    </row>
    <row r="15" customFormat="false" ht="12.8" hidden="false" customHeight="false" outlineLevel="0" collapsed="false">
      <c r="I15" s="2"/>
      <c r="J15" s="2"/>
    </row>
    <row r="16" customFormat="false" ht="12.8" hidden="false" customHeight="false" outlineLevel="0" collapsed="false">
      <c r="D16" s="2" t="s">
        <v>18</v>
      </c>
      <c r="I16" s="2"/>
      <c r="J16" s="2"/>
    </row>
    <row r="17" customFormat="false" ht="12.8" hidden="false" customHeight="true" outlineLevel="0" collapsed="false">
      <c r="A17" s="18" t="s">
        <v>66</v>
      </c>
      <c r="B17" s="18"/>
      <c r="C17" s="18"/>
      <c r="D17" s="15" t="s">
        <v>19</v>
      </c>
      <c r="E17" s="16" t="n">
        <f aca="false">D13</f>
        <v>17</v>
      </c>
      <c r="F17" s="8" t="s">
        <v>67</v>
      </c>
      <c r="G17" s="8"/>
      <c r="I17" s="2"/>
      <c r="J17" s="2"/>
    </row>
    <row r="18" customFormat="false" ht="12.8" hidden="false" customHeight="false" outlineLevel="0" collapsed="false">
      <c r="A18" s="18"/>
      <c r="B18" s="18"/>
      <c r="C18" s="18"/>
      <c r="D18" s="15" t="s">
        <v>21</v>
      </c>
      <c r="E18" s="16" t="n">
        <f aca="false">B14</f>
        <v>3</v>
      </c>
      <c r="F18" s="8" t="s">
        <v>68</v>
      </c>
      <c r="G18" s="8"/>
      <c r="J18" s="2"/>
      <c r="K18" s="2"/>
    </row>
    <row r="19" customFormat="false" ht="12.8" hidden="false" customHeight="false" outlineLevel="0" collapsed="false">
      <c r="D19" s="15" t="s">
        <v>23</v>
      </c>
      <c r="E19" s="16" t="n">
        <f aca="false">C14</f>
        <v>4</v>
      </c>
      <c r="F19" s="8" t="s">
        <v>69</v>
      </c>
      <c r="G19" s="8"/>
      <c r="J19" s="2"/>
      <c r="K19" s="2"/>
    </row>
  </sheetData>
  <mergeCells count="5">
    <mergeCell ref="A1:J1"/>
    <mergeCell ref="A17:C18"/>
    <mergeCell ref="F17:G17"/>
    <mergeCell ref="F18:G18"/>
    <mergeCell ref="F19:G19"/>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33</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2026-09-17T07:03:02Z</dcterms:created>
  <dc:creator/>
  <dc:description/>
  <dc:language>es-MX</dc:language>
  <cp:lastModifiedBy/>
  <dcterms:modified xsi:type="dcterms:W3CDTF">2026-09-17T08:33:56Z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